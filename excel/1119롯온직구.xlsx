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BE\Desktop\"/>
    </mc:Choice>
  </mc:AlternateContent>
  <xr:revisionPtr revIDLastSave="0" documentId="8_{A7D15468-688C-4A83-AF55-30D81AA5A54C}" xr6:coauthVersionLast="47" xr6:coauthVersionMax="47" xr10:uidLastSave="{00000000-0000-0000-0000-000000000000}"/>
  <bookViews>
    <workbookView xWindow="28680" yWindow="-120" windowWidth="29040" windowHeight="146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" i="1" l="1"/>
</calcChain>
</file>

<file path=xl/sharedStrings.xml><?xml version="1.0" encoding="utf-8"?>
<sst xmlns="http://schemas.openxmlformats.org/spreadsheetml/2006/main" count="112" uniqueCount="90">
  <si>
    <t>주문번호</t>
  </si>
  <si>
    <t>주문순번</t>
  </si>
  <si>
    <t>주문상태</t>
  </si>
  <si>
    <t>발송예정일</t>
  </si>
  <si>
    <t>도착예정일</t>
  </si>
  <si>
    <t>발송지연여부</t>
  </si>
  <si>
    <t>배송희망일/배송예약일</t>
  </si>
  <si>
    <t>발송약속일</t>
  </si>
  <si>
    <t>합배송그룹번호</t>
  </si>
  <si>
    <t>합배송가능여부</t>
  </si>
  <si>
    <t>배송상품유형</t>
  </si>
  <si>
    <t>배송예약구분</t>
  </si>
  <si>
    <t>판매유형</t>
  </si>
  <si>
    <t>상품명</t>
  </si>
  <si>
    <t>상품번호</t>
  </si>
  <si>
    <t>옵션명</t>
  </si>
  <si>
    <t>단품번호</t>
  </si>
  <si>
    <t>판매단가</t>
  </si>
  <si>
    <t>수량</t>
  </si>
  <si>
    <t>입력형추가옵션</t>
  </si>
  <si>
    <t>배송메세지</t>
  </si>
  <si>
    <t>판매자 내부 상품번호</t>
  </si>
  <si>
    <t>판매자 내부 단품번호</t>
  </si>
  <si>
    <t>선물여부</t>
  </si>
  <si>
    <t>선물포장요청여부</t>
  </si>
  <si>
    <t>명절상품여부</t>
  </si>
  <si>
    <t>해외배송여부</t>
  </si>
  <si>
    <t>개인통관번호</t>
  </si>
  <si>
    <t>배송수단</t>
  </si>
  <si>
    <t>배송사</t>
  </si>
  <si>
    <t>송장번호</t>
  </si>
  <si>
    <t>운송장규칙 위배사유</t>
  </si>
  <si>
    <t>송장개수</t>
  </si>
  <si>
    <t>주문접수일시</t>
  </si>
  <si>
    <t>출고지시일시</t>
  </si>
  <si>
    <t>상품준비일시</t>
  </si>
  <si>
    <t>발송완료일시</t>
  </si>
  <si>
    <t>배송완료일시</t>
  </si>
  <si>
    <t>기배송</t>
  </si>
  <si>
    <t>우편번호</t>
  </si>
  <si>
    <t>우편번호순번</t>
  </si>
  <si>
    <t>수취인 배송지</t>
  </si>
  <si>
    <t>수취인명</t>
  </si>
  <si>
    <t>수취인 휴대폰번호</t>
  </si>
  <si>
    <t>주문자명</t>
  </si>
  <si>
    <t>주문자 휴대폰번호</t>
  </si>
  <si>
    <t>주문자ID</t>
  </si>
  <si>
    <t>판매가</t>
  </si>
  <si>
    <t>롯데온부담 할인금액</t>
  </si>
  <si>
    <t>판매자부담 할인금액</t>
  </si>
  <si>
    <t>판매자부담 지원할인 프로그램 할인금액</t>
  </si>
  <si>
    <t>상품별 총 할인금액</t>
  </si>
  <si>
    <t>실 결제금액</t>
  </si>
  <si>
    <t>배송비</t>
  </si>
  <si>
    <t>도서산간 추가여부</t>
  </si>
  <si>
    <t>제주지역 추가여부</t>
  </si>
  <si>
    <t>하위거래처</t>
  </si>
  <si>
    <t>2025111813031222</t>
  </si>
  <si>
    <t>1</t>
  </si>
  <si>
    <t>상품준비</t>
  </si>
  <si>
    <t>2025-11-19</t>
  </si>
  <si>
    <t>N</t>
  </si>
  <si>
    <t/>
  </si>
  <si>
    <t>일반상품</t>
  </si>
  <si>
    <t>일반배송</t>
  </si>
  <si>
    <t>일반판매상품</t>
  </si>
  <si>
    <t>[공식판매처][평일평균3일배송][독일내수] 압타밀 프로누트라 어드밴스 HMO 2단계 X 6통</t>
  </si>
  <si>
    <t>LO2553980037</t>
  </si>
  <si>
    <t>Aptamil Pronutra 2 * 6</t>
  </si>
  <si>
    <t>LO2553980037_2553980038</t>
  </si>
  <si>
    <t>156900</t>
  </si>
  <si>
    <t>문 앞에 놓아주세요</t>
  </si>
  <si>
    <t>아니오</t>
  </si>
  <si>
    <t>해외배송</t>
  </si>
  <si>
    <t>P170006586281</t>
  </si>
  <si>
    <t>일반택배</t>
  </si>
  <si>
    <t>롯데택배</t>
  </si>
  <si>
    <t>0</t>
  </si>
  <si>
    <t>12248</t>
  </si>
  <si>
    <t>004</t>
  </si>
  <si>
    <t>경기 남양주시 다산중앙로123번길 29(다산동, 다산역자연앤푸르지오) 3405동 701호</t>
  </si>
  <si>
    <t>장민경</t>
  </si>
  <si>
    <t>01029065363</t>
  </si>
  <si>
    <t>mk_jmk_mk@naver.com</t>
  </si>
  <si>
    <t>4392</t>
  </si>
  <si>
    <t>5490</t>
  </si>
  <si>
    <t>1098</t>
  </si>
  <si>
    <t>10980</t>
  </si>
  <si>
    <t>145920</t>
  </si>
  <si>
    <t>총판매가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</si>
</sst>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/mm/dd\ hh:mm"/>
    <numFmt numFmtId="179" formatCode="0_);[Red]\(0\)"/>
  </numFmts>
  <fonts count="7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78" fontId="3" fillId="3" borderId="0" xfId="0" applyNumberFormat="1" applyFont="1" applyFill="1" applyAlignment="1">
      <alignment horizontal="center" vertical="top"/>
    </xf>
    <xf numFmtId="49" fontId="4" fillId="3" borderId="0" xfId="0" applyNumberFormat="1" applyFont="1" applyFill="1" applyAlignment="1">
      <alignment horizontal="left" vertical="top"/>
    </xf>
    <xf numFmtId="179" fontId="6" fillId="2" borderId="1" xfId="0" applyNumberFormat="1" applyFont="1" applyFill="1" applyBorder="1" applyAlignment="1">
      <alignment horizontal="center" vertical="center"/>
    </xf>
    <xf numFmtId="179" fontId="2" fillId="3" borderId="0" xfId="0" applyNumberFormat="1" applyFont="1" applyFill="1" applyAlignment="1">
      <alignment horizontal="left" vertical="top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"/>
  <sheetViews>
    <sheetView tabSelected="1" topLeftCell="AJ1" workbookViewId="0">
      <selection activeCell="AW3" sqref="AW3"/>
    </sheetView>
  </sheetViews>
  <sheetFormatPr defaultRowHeight="16.5" x14ac:dyDescent="0.3"/>
  <cols>
    <col min="49" max="49" width="9" style="6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89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3">
      <c r="A2" s="3" t="s">
        <v>57</v>
      </c>
      <c r="B2" s="3" t="s">
        <v>58</v>
      </c>
      <c r="C2" s="3" t="s">
        <v>59</v>
      </c>
      <c r="D2" s="3" t="s">
        <v>60</v>
      </c>
      <c r="E2" s="3" t="s">
        <v>60</v>
      </c>
      <c r="F2" s="3" t="s">
        <v>61</v>
      </c>
      <c r="G2" s="3" t="s">
        <v>62</v>
      </c>
      <c r="H2" s="3" t="s">
        <v>62</v>
      </c>
      <c r="I2" s="3" t="s">
        <v>58</v>
      </c>
      <c r="J2" s="3" t="s">
        <v>61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58</v>
      </c>
      <c r="T2" s="3" t="s">
        <v>62</v>
      </c>
      <c r="U2" s="3" t="s">
        <v>71</v>
      </c>
      <c r="V2" s="3" t="s">
        <v>62</v>
      </c>
      <c r="W2" s="3" t="s">
        <v>62</v>
      </c>
      <c r="X2" s="3" t="s">
        <v>61</v>
      </c>
      <c r="Y2" s="3" t="s">
        <v>61</v>
      </c>
      <c r="Z2" s="3" t="s">
        <v>72</v>
      </c>
      <c r="AA2" s="3" t="s">
        <v>73</v>
      </c>
      <c r="AB2" s="3" t="s">
        <v>74</v>
      </c>
      <c r="AC2" s="3" t="s">
        <v>75</v>
      </c>
      <c r="AD2" s="3" t="s">
        <v>76</v>
      </c>
      <c r="AE2" s="3" t="s">
        <v>62</v>
      </c>
      <c r="AF2" s="3" t="s">
        <v>62</v>
      </c>
      <c r="AG2" s="3" t="s">
        <v>77</v>
      </c>
      <c r="AH2" s="2">
        <v>45979.530775462961</v>
      </c>
      <c r="AI2" s="2">
        <v>45979.552384259259</v>
      </c>
      <c r="AJ2" s="2">
        <v>45980.465497685182</v>
      </c>
      <c r="AK2" s="3" t="s">
        <v>62</v>
      </c>
      <c r="AL2" s="3" t="s">
        <v>62</v>
      </c>
      <c r="AM2" s="3" t="s">
        <v>62</v>
      </c>
      <c r="AN2" s="3" t="s">
        <v>78</v>
      </c>
      <c r="AO2" s="3" t="s">
        <v>79</v>
      </c>
      <c r="AP2" s="3" t="s">
        <v>80</v>
      </c>
      <c r="AQ2" s="3" t="s">
        <v>81</v>
      </c>
      <c r="AR2" s="3" t="s">
        <v>82</v>
      </c>
      <c r="AS2" s="3" t="s">
        <v>81</v>
      </c>
      <c r="AT2" s="3" t="s">
        <v>82</v>
      </c>
      <c r="AU2" s="3" t="s">
        <v>83</v>
      </c>
      <c r="AV2" s="3" t="s">
        <v>70</v>
      </c>
      <c r="AW2" s="5">
        <f>AV2*0.915</f>
        <v>143563.5</v>
      </c>
      <c r="AX2" s="3" t="s">
        <v>84</v>
      </c>
      <c r="AY2" s="3" t="s">
        <v>85</v>
      </c>
      <c r="AZ2" s="3" t="s">
        <v>86</v>
      </c>
      <c r="BA2" s="3" t="s">
        <v>87</v>
      </c>
      <c r="BB2" s="3" t="s">
        <v>88</v>
      </c>
      <c r="BC2" s="3" t="s">
        <v>77</v>
      </c>
      <c r="BD2" s="3" t="s">
        <v>61</v>
      </c>
      <c r="BE2" s="3" t="s">
        <v>61</v>
      </c>
      <c r="BF2" s="3" t="s">
        <v>62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EIBE</cp:lastModifiedBy>
  <dcterms:created xsi:type="dcterms:W3CDTF">2025-11-19T02:10:27Z</dcterms:created>
  <dcterms:modified xsi:type="dcterms:W3CDTF">2025-11-19T02:11:19Z</dcterms:modified>
</cp:coreProperties>
</file>